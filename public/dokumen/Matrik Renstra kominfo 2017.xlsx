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8700" yWindow="0" windowWidth="12900" windowHeight="7935"/>
  </bookViews>
  <sheets>
    <sheet name="Renstra" sheetId="1" r:id="rId1"/>
  </sheets>
  <definedNames>
    <definedName name="_GoBack" localSheetId="0">Renstra!#REF!</definedName>
    <definedName name="_xlnm.Print_Titles" localSheetId="0">Renstra!$5:$7</definedName>
  </definedNames>
  <calcPr calcId="144525"/>
</workbook>
</file>

<file path=xl/calcChain.xml><?xml version="1.0" encoding="utf-8"?>
<calcChain xmlns="http://schemas.openxmlformats.org/spreadsheetml/2006/main">
  <c r="R13" i="1" l="1"/>
  <c r="R12" i="1"/>
  <c r="R11" i="1"/>
  <c r="R10" i="1"/>
  <c r="R17" i="1"/>
  <c r="R16" i="1"/>
  <c r="R15" i="1"/>
  <c r="R19" i="1"/>
  <c r="R22" i="1"/>
  <c r="R21" i="1"/>
  <c r="R24" i="1"/>
  <c r="R25" i="1"/>
  <c r="R27" i="1"/>
  <c r="R28" i="1"/>
  <c r="R29" i="1"/>
  <c r="R60" i="1" l="1"/>
  <c r="R59" i="1"/>
  <c r="R58" i="1"/>
  <c r="R57" i="1"/>
  <c r="R55" i="1"/>
  <c r="R54" i="1"/>
  <c r="R52" i="1"/>
  <c r="R51" i="1"/>
  <c r="R50" i="1"/>
  <c r="R49" i="1"/>
  <c r="R48" i="1"/>
  <c r="R46" i="1"/>
  <c r="R45" i="1"/>
  <c r="R43" i="1"/>
  <c r="R42" i="1"/>
  <c r="R41" i="1"/>
  <c r="R40" i="1"/>
  <c r="R37" i="1"/>
  <c r="R36" i="1"/>
  <c r="R35" i="1"/>
  <c r="R33" i="1"/>
  <c r="R32" i="1"/>
  <c r="O33" i="1"/>
  <c r="R30" i="1"/>
</calcChain>
</file>

<file path=xl/sharedStrings.xml><?xml version="1.0" encoding="utf-8"?>
<sst xmlns="http://schemas.openxmlformats.org/spreadsheetml/2006/main" count="280" uniqueCount="146">
  <si>
    <t>No.</t>
  </si>
  <si>
    <t>Urusan/Bidang UrusanPemerintahan Daerah dan Program/Kegiatan</t>
  </si>
  <si>
    <t xml:space="preserve">Indikator Kinerja Program </t>
  </si>
  <si>
    <t>(Outcome)/Kegiatan (Output)</t>
  </si>
  <si>
    <t xml:space="preserve"> Kondisi Kinerja Awal Periode RPJMD </t>
  </si>
  <si>
    <t>Capaian Kinerja Program dan Kerangka Pendanaan</t>
  </si>
  <si>
    <t>Sasaran</t>
  </si>
  <si>
    <t>Tahun 2014</t>
  </si>
  <si>
    <t>Tahun 2015</t>
  </si>
  <si>
    <t>Tahun 2016</t>
  </si>
  <si>
    <t>Tahun 2017</t>
  </si>
  <si>
    <t>Tahun 2018</t>
  </si>
  <si>
    <t>Kondisi Kinerja Akhir Periode RPJMD</t>
  </si>
  <si>
    <t xml:space="preserve"> Tahun 2012 </t>
  </si>
  <si>
    <t xml:space="preserve"> Tahun 2013 </t>
  </si>
  <si>
    <t>Target</t>
  </si>
  <si>
    <t>Rp. (000)</t>
  </si>
  <si>
    <t xml:space="preserve">Rencana Program, Kegiatan, Indikator Kinerja, Kelompok Sasaran, dan Pendanaan Indikatif </t>
  </si>
  <si>
    <t>Dinas Komunikasi dan Informatika Kabupaten Banyumas</t>
  </si>
  <si>
    <t>Komunikasi dan Informatika</t>
  </si>
  <si>
    <t>Terwujudnya pengembangan sistem informasi dan layanan pemerintah daerah berbasis teknologi informasi dan komunikasi</t>
  </si>
  <si>
    <t>Program Pelayanan Administrasi Perkantoran</t>
  </si>
  <si>
    <t>Terpenuhinya Sarana Dan Prasarana Pelayanan Administrasi Di Lingkungan Dinas</t>
  </si>
  <si>
    <t>Penyediaan Jasa Peralatan dan Perlengkapan Kantor</t>
  </si>
  <si>
    <t>Kebutuhan listrik, air dll</t>
  </si>
  <si>
    <t>Penyediaan Bahan Logistik Kantor</t>
  </si>
  <si>
    <t>Pemenuhan kebutuhan dasar kantor</t>
  </si>
  <si>
    <t>Rapat-rapat, Koordinasi dan Konsultasi Keluar Daerah</t>
  </si>
  <si>
    <t>Rapat koordinasi</t>
  </si>
  <si>
    <t>Penyediaan Tenaga Administrasi, Keamanan, Pengemudi dan Kebersihan</t>
  </si>
  <si>
    <t>Terbayarnya honor pengemudi, petugas kebersihan dan petugas jaga malam</t>
  </si>
  <si>
    <t>Program Peningkatan Sarana dan Prasaran Aparatur</t>
  </si>
  <si>
    <t>Meningkatnya Sarana Dan Prasarana Aparatur</t>
  </si>
  <si>
    <t>Pemeliharaan Rutin/Berkala Gedung Kantor</t>
  </si>
  <si>
    <t>Pemeliharaan gedung kantor</t>
  </si>
  <si>
    <t>Pemeliharaan Rutin/Berkala Kendaraan Dinas/ Operasional</t>
  </si>
  <si>
    <t>Pemeliharaan rutin kendaraan dinas/operasional</t>
  </si>
  <si>
    <t>Pemeliharaan Peralatan dan Perlengkapan Kantor</t>
  </si>
  <si>
    <t>Pemeliharaan rutin peralatan dan perlengkapan kantor</t>
  </si>
  <si>
    <t>Program Peningkatan Kapasitas Sumber Daya Aparatur</t>
  </si>
  <si>
    <t xml:space="preserve">Pemeliharaan Peralatan Sandi dan Telekomunikasi </t>
  </si>
  <si>
    <t xml:space="preserve">Terpemeliharanya Peralatan Sandi dan Telekomunikasi </t>
  </si>
  <si>
    <t>Program Peningkatan Pengembangan Sistem Pelaporan Capaian Kinerja dan Keuangan</t>
  </si>
  <si>
    <t>Meningkatnya Pengembangan Sistem Pelaporan Capaian Kinerja Dan Keuangan</t>
  </si>
  <si>
    <t>Pengendalian dan Penatausahaan Keuangan Daerah</t>
  </si>
  <si>
    <t>Terlaksananya Pengendalian dan Penatausahaan Keuangan Daerah</t>
  </si>
  <si>
    <t>Penyusunan Perencanaan, Pelaporan dan Evaluasi Kinerja SKPD</t>
  </si>
  <si>
    <t>Perencanaan, Pelaporan</t>
  </si>
  <si>
    <t>Program Pengembangan Komunikasi, Informasi dan Media Massa</t>
  </si>
  <si>
    <t>Meningkatnya Pengembangan Teknologi Komunikasi, Informasi Dan Media Massa</t>
  </si>
  <si>
    <t>Penataan sarana komunikasi, postel dan pemetaan tower terpadu</t>
  </si>
  <si>
    <t>Pengelolaan menara telepon</t>
  </si>
  <si>
    <t>Pengembangan aplikasi interoperabilitas</t>
  </si>
  <si>
    <t xml:space="preserve">Tersusunnya Masterplan Proses Bisnis </t>
  </si>
  <si>
    <t>Program Optimalisasi Pemanfaatan Teknologi Informasi</t>
  </si>
  <si>
    <t>Pemeliharaan jaringan internet dan intranet web hosting dan updating data website</t>
  </si>
  <si>
    <t>Pemeliharaan jaringan internet dan intranet</t>
  </si>
  <si>
    <t>Pembangunan dan Pengembangan Jaringan e-government</t>
  </si>
  <si>
    <t>Jaringan komputer / LAN SKPD</t>
  </si>
  <si>
    <t>Operasional LPSE</t>
  </si>
  <si>
    <t xml:space="preserve">Lancarnya operasional LPSE dan SPSE </t>
  </si>
  <si>
    <t>Pengembangan data center, NOC dan data recovery center</t>
  </si>
  <si>
    <t xml:space="preserve">1. Pengadaan Peralatan Data Center dan NOC </t>
  </si>
  <si>
    <t xml:space="preserve">2. Pengadaan Peralatan DRC </t>
  </si>
  <si>
    <t>Pengembangan SDM Teknologi Informasi dan Komunikasi (TIK)</t>
  </si>
  <si>
    <t xml:space="preserve">Peningkatan Kapasitas SDM Bidang TIK bagi PNS Pemkab Banyumas </t>
  </si>
  <si>
    <t>Pengelolaan Jaringan Komunikasi Data</t>
  </si>
  <si>
    <t xml:space="preserve">1. Tersedianya Koneksi Internet dengan Kecepatan yang Stabil </t>
  </si>
  <si>
    <t>2.Pengadaan Jaringan/Instalasi Fiber Optik (FO)</t>
  </si>
  <si>
    <t>Fasilitasi aplikasi sistem informasi</t>
  </si>
  <si>
    <t>Terfasilitasinya Aplikasi Sistem Informasi Pemerintahan Perbasis E-Goverment di Kabupaten Banyumas</t>
  </si>
  <si>
    <t>Penyelenggaraan Pelatihan TIK Bagi Aparatur Pemerintah</t>
  </si>
  <si>
    <t>Terselenggaranya Pelatihan TIK Bagi Aparatur Pemerintah</t>
  </si>
  <si>
    <t>Pemberdayaan Masyarakat Program TIK</t>
  </si>
  <si>
    <t xml:space="preserve">2. Pemberdayaan Masyarakat Program TIK </t>
  </si>
  <si>
    <t>3. Fasilitasi Program KPU/USO</t>
  </si>
  <si>
    <t>Pembangunan dan Pemeliharaan Repeater Telekomunikasi</t>
  </si>
  <si>
    <t>Pembangunan dan Pemeliharaan Repeatur Telekomunikasi</t>
  </si>
  <si>
    <t>Fasilitasi Smart City</t>
  </si>
  <si>
    <t>Updating Monitoring Website</t>
  </si>
  <si>
    <t>Terselenggaranya Updating Monitoring Website</t>
  </si>
  <si>
    <t>Rancang Ulang Proses Bisnis Sistim Informasi</t>
  </si>
  <si>
    <t xml:space="preserve">Terlaksananya Rancang ulang proses bisnis sistem informasi </t>
  </si>
  <si>
    <t>Tersedianya sumber daya aparatur yang memiliki kompetensi di Bidang TIK</t>
  </si>
  <si>
    <t>Program fasilitasi Peningkatan SDM bidang komunikasi dan informasi</t>
  </si>
  <si>
    <t xml:space="preserve">Pelatihan SDM dalam bidang komunikasi dan informasi </t>
  </si>
  <si>
    <t>Terlaksananya pelatihan SDM dalam bidang komunikasi dan informasi</t>
  </si>
  <si>
    <t>Fasilitasi kelembagaan masyarakat dan diseminasi informasi</t>
  </si>
  <si>
    <t>Terfasilitasinya kelembagaan masyarakat dan diseminasi informasi</t>
  </si>
  <si>
    <r>
      <t xml:space="preserve">Meningkatnya layanan data dan Informasi </t>
    </r>
    <r>
      <rPr>
        <sz val="8"/>
        <color rgb="FF000000"/>
        <rFont val="Arial Narrow"/>
        <family val="2"/>
      </rPr>
      <t>yang dapat diakses oleh publik</t>
    </r>
  </si>
  <si>
    <t>Program kerjasama Informasi dengan Mass Media</t>
  </si>
  <si>
    <t>Terwujudnya Kerjasama Informasi Dengan Media Massa</t>
  </si>
  <si>
    <t>Penerbitan data/informasi layanan masyarakat</t>
  </si>
  <si>
    <t>Terlaksananya penerbitan data/informasi layanan masyarakat</t>
  </si>
  <si>
    <t>Publikasi keliling</t>
  </si>
  <si>
    <t>Terlaksananya publikasi keliling</t>
  </si>
  <si>
    <t>Optimalisasi pemungutan retribusi menara telekomunikasi</t>
  </si>
  <si>
    <t>Terlaksananya optimalisasi pemungutan retribusi menara telekomunikasi</t>
  </si>
  <si>
    <t>Pengelolaan Opini dan Aduan</t>
  </si>
  <si>
    <t>Terlaksananya Pengelola opini dan Aduan</t>
  </si>
  <si>
    <t>Penyelenggaraan PPID</t>
  </si>
  <si>
    <t>Terselenggaranya PPID di Kab Banyumas</t>
  </si>
  <si>
    <t>Program Pengembangan Data/Informasi/ Statistik Daerah</t>
  </si>
  <si>
    <t>Penyusunan Data dan Informasi Kabupaten Banyumas Tahun 2017</t>
  </si>
  <si>
    <t>Tersusunya data dan informasi Kabupaten Banyumas Tahun 2017</t>
  </si>
  <si>
    <t>Penanganan Keamanan Informasi dan Audit TIK</t>
  </si>
  <si>
    <t>Terselenggaranya Penanganan Keamanan Informasi dan Audit TIK</t>
  </si>
  <si>
    <t>Program Peningkatan Pelayanan Publik</t>
  </si>
  <si>
    <t>Informasi Layanan Cukai (DBHCHT)</t>
  </si>
  <si>
    <t>Terinformasikannya cukai tembakau kepada masyarakat serta produktifitas serta ketepatan penggunaan cukai tembakau akan meningkat</t>
  </si>
  <si>
    <t>Pembangunan Videotron (DBHCHT)</t>
  </si>
  <si>
    <t>Tersedianya videotron di Alun-alun Purwokerto</t>
  </si>
  <si>
    <t>Operasional Videotron</t>
  </si>
  <si>
    <t>Terlaksananya pengoperasioanl videotron</t>
  </si>
  <si>
    <t>Penerbitan Tabloid Pemda</t>
  </si>
  <si>
    <t>Terbitnya Tabloid Pemda</t>
  </si>
  <si>
    <t>4 apliakasi</t>
  </si>
  <si>
    <t>2 aplikasi</t>
  </si>
  <si>
    <t>3 aplikasi</t>
  </si>
  <si>
    <t>5 aplikasi</t>
  </si>
  <si>
    <t>12 Bulan</t>
  </si>
  <si>
    <t>3 Unit</t>
  </si>
  <si>
    <t>54 OPD</t>
  </si>
  <si>
    <t>27 Kecamatan</t>
  </si>
  <si>
    <t>5 Aplikasi</t>
  </si>
  <si>
    <t>2 Kali</t>
  </si>
  <si>
    <t>1 Kegiatan</t>
  </si>
  <si>
    <t>400 Buku</t>
  </si>
  <si>
    <t>1 Kali</t>
  </si>
  <si>
    <t>1 Paket</t>
  </si>
  <si>
    <t>12 bulan</t>
  </si>
  <si>
    <t>1. Implementasi Penerapan Model Informatika Masyarakat Pedesaan</t>
  </si>
  <si>
    <t>5 Paket</t>
  </si>
  <si>
    <t>2 Kegiatan</t>
  </si>
  <si>
    <t>22 Aplikasi</t>
  </si>
  <si>
    <t>6 Unit</t>
  </si>
  <si>
    <t>24 Bulan</t>
  </si>
  <si>
    <t>5 Kali</t>
  </si>
  <si>
    <t>2 kali</t>
  </si>
  <si>
    <t>800 buku</t>
  </si>
  <si>
    <t>2 Paket</t>
  </si>
  <si>
    <t>16 aplikasi</t>
  </si>
  <si>
    <t>Terfasilitasinya Peningkatan SDM Bidang Komunikasi Dan Informasi</t>
  </si>
  <si>
    <t>Terwujudnya Data/Informasi/Statistik Daerah yang up to date</t>
  </si>
  <si>
    <t>Terwujudnya pelayanan publik yang optimal</t>
  </si>
  <si>
    <t>Masyarakat melek Teknologi, Informasi dan Komunikasi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</si>
</sst>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sz val="12"/>
      <color theme="1"/>
      <name val="Calibri"/>
      <family val="2"/>
    </font>
    <font>
      <b/>
      <sz val="8"/>
      <name val="Arial Narrow"/>
      <family val="2"/>
    </font>
    <font>
      <sz val="8"/>
      <color rgb="FF000000"/>
      <name val="Calibri"/>
      <family val="2"/>
      <charset val="204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4A7B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5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2" xfId="0" applyFont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vertical="top" wrapText="1"/>
    </xf>
    <xf numFmtId="0" fontId="8" fillId="0" borderId="3" xfId="0" applyFont="1" applyBorder="1" applyAlignment="1">
      <alignment horizontal="right" vertical="top"/>
    </xf>
    <xf numFmtId="0" fontId="4" fillId="0" borderId="3" xfId="0" quotePrefix="1" applyFont="1" applyBorder="1" applyAlignment="1">
      <alignment horizontal="right" vertical="top" wrapText="1"/>
    </xf>
    <xf numFmtId="0" fontId="4" fillId="0" borderId="3" xfId="0" quotePrefix="1" applyFont="1" applyBorder="1" applyAlignment="1">
      <alignment vertical="top" wrapText="1"/>
    </xf>
    <xf numFmtId="0" fontId="4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justify" vertical="top" wrapText="1"/>
    </xf>
    <xf numFmtId="0" fontId="2" fillId="2" borderId="2" xfId="0" applyFont="1" applyFill="1" applyBorder="1" applyAlignment="1">
      <alignment horizontal="center" wrapText="1"/>
    </xf>
    <xf numFmtId="0" fontId="0" fillId="2" borderId="4" xfId="0" applyFill="1" applyBorder="1" applyAlignment="1">
      <alignment wrapText="1"/>
    </xf>
    <xf numFmtId="41" fontId="2" fillId="0" borderId="1" xfId="1" applyFont="1" applyBorder="1" applyAlignment="1">
      <alignment horizontal="right" vertical="top" wrapText="1"/>
    </xf>
    <xf numFmtId="41" fontId="2" fillId="0" borderId="1" xfId="1" applyFont="1" applyBorder="1" applyAlignment="1">
      <alignment horizontal="justify" vertical="top" wrapText="1"/>
    </xf>
    <xf numFmtId="41" fontId="3" fillId="0" borderId="1" xfId="1" applyFont="1" applyBorder="1" applyAlignment="1">
      <alignment horizontal="right" vertical="top" wrapText="1"/>
    </xf>
    <xf numFmtId="41" fontId="3" fillId="0" borderId="1" xfId="1" applyFont="1" applyBorder="1" applyAlignment="1">
      <alignment horizontal="justify" vertical="top" wrapText="1"/>
    </xf>
    <xf numFmtId="41" fontId="9" fillId="0" borderId="1" xfId="1" applyFont="1" applyBorder="1" applyAlignment="1">
      <alignment horizontal="right" vertical="top" wrapText="1"/>
    </xf>
    <xf numFmtId="41" fontId="3" fillId="0" borderId="1" xfId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wrapText="1"/>
    </xf>
    <xf numFmtId="9" fontId="3" fillId="0" borderId="1" xfId="1" applyNumberFormat="1" applyFont="1" applyBorder="1" applyAlignment="1">
      <alignment horizontal="right" vertical="top" wrapText="1"/>
    </xf>
    <xf numFmtId="0" fontId="4" fillId="0" borderId="2" xfId="0" applyFont="1" applyFill="1" applyBorder="1" applyAlignment="1">
      <alignment horizontal="left" vertical="top" wrapText="1"/>
    </xf>
    <xf numFmtId="41" fontId="3" fillId="0" borderId="2" xfId="1" applyFont="1" applyFill="1" applyBorder="1" applyAlignment="1">
      <alignment horizontal="center" vertical="top" wrapText="1"/>
    </xf>
    <xf numFmtId="41" fontId="3" fillId="0" borderId="2" xfId="1" applyFont="1" applyBorder="1" applyAlignment="1">
      <alignment horizontal="right" vertical="top" wrapText="1"/>
    </xf>
    <xf numFmtId="0" fontId="4" fillId="0" borderId="3" xfId="0" applyFont="1" applyFill="1" applyBorder="1" applyAlignment="1">
      <alignment horizontal="left" vertical="top" wrapText="1"/>
    </xf>
    <xf numFmtId="41" fontId="3" fillId="0" borderId="3" xfId="1" applyFont="1" applyFill="1" applyBorder="1" applyAlignment="1">
      <alignment horizontal="center" vertical="top" wrapText="1"/>
    </xf>
    <xf numFmtId="41" fontId="3" fillId="0" borderId="3" xfId="1" applyFont="1" applyBorder="1" applyAlignment="1">
      <alignment horizontal="right" vertical="top" wrapText="1"/>
    </xf>
    <xf numFmtId="0" fontId="4" fillId="0" borderId="4" xfId="0" applyFont="1" applyFill="1" applyBorder="1" applyAlignment="1">
      <alignment horizontal="left" vertical="top" wrapText="1"/>
    </xf>
    <xf numFmtId="41" fontId="3" fillId="0" borderId="4" xfId="1" applyFont="1" applyFill="1" applyBorder="1" applyAlignment="1">
      <alignment horizontal="center" vertical="top" wrapText="1"/>
    </xf>
    <xf numFmtId="41" fontId="3" fillId="0" borderId="4" xfId="1" applyFont="1" applyBorder="1" applyAlignment="1">
      <alignment horizontal="right" vertical="top" wrapText="1"/>
    </xf>
    <xf numFmtId="0" fontId="3" fillId="0" borderId="2" xfId="0" applyFont="1" applyFill="1" applyBorder="1" applyAlignment="1">
      <alignment vertical="top" wrapText="1"/>
    </xf>
    <xf numFmtId="0" fontId="3" fillId="0" borderId="4" xfId="0" applyFont="1" applyFill="1" applyBorder="1" applyAlignment="1">
      <alignment vertical="top" wrapText="1"/>
    </xf>
    <xf numFmtId="41" fontId="3" fillId="0" borderId="1" xfId="1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right" vertical="top" wrapText="1"/>
    </xf>
    <xf numFmtId="3" fontId="3" fillId="0" borderId="1" xfId="0" applyNumberFormat="1" applyFont="1" applyFill="1" applyBorder="1" applyAlignment="1">
      <alignment horizontal="right" vertical="top" wrapText="1"/>
    </xf>
    <xf numFmtId="9" fontId="3" fillId="0" borderId="1" xfId="0" applyNumberFormat="1" applyFont="1" applyFill="1" applyBorder="1" applyAlignment="1">
      <alignment horizontal="right" vertical="top" wrapText="1"/>
    </xf>
    <xf numFmtId="0" fontId="3" fillId="0" borderId="2" xfId="0" applyFont="1" applyFill="1" applyBorder="1" applyAlignment="1">
      <alignment horizontal="right" vertical="top" wrapText="1"/>
    </xf>
    <xf numFmtId="3" fontId="3" fillId="0" borderId="2" xfId="0" applyNumberFormat="1" applyFont="1" applyFill="1" applyBorder="1" applyAlignment="1">
      <alignment horizontal="right" vertical="top" wrapText="1"/>
    </xf>
    <xf numFmtId="9" fontId="3" fillId="0" borderId="2" xfId="0" applyNumberFormat="1" applyFont="1" applyFill="1" applyBorder="1" applyAlignment="1">
      <alignment horizontal="right" vertical="top" wrapText="1"/>
    </xf>
    <xf numFmtId="0" fontId="3" fillId="0" borderId="4" xfId="0" applyFont="1" applyFill="1" applyBorder="1" applyAlignment="1">
      <alignment horizontal="right" vertical="top" wrapText="1"/>
    </xf>
    <xf numFmtId="41" fontId="3" fillId="0" borderId="2" xfId="1" applyFont="1" applyFill="1" applyBorder="1" applyAlignment="1">
      <alignment horizontal="right" vertical="top" wrapText="1"/>
    </xf>
    <xf numFmtId="41" fontId="3" fillId="0" borderId="4" xfId="1" applyFont="1" applyFill="1" applyBorder="1" applyAlignment="1">
      <alignment horizontal="right" vertical="top" wrapText="1"/>
    </xf>
    <xf numFmtId="41" fontId="3" fillId="0" borderId="3" xfId="1" applyFont="1" applyFill="1" applyBorder="1" applyAlignment="1">
      <alignment horizontal="right" vertical="top" wrapText="1"/>
    </xf>
    <xf numFmtId="0" fontId="3" fillId="0" borderId="3" xfId="0" applyFont="1" applyFill="1" applyBorder="1" applyAlignment="1">
      <alignment horizontal="right" vertical="top" wrapText="1"/>
    </xf>
    <xf numFmtId="41" fontId="3" fillId="0" borderId="2" xfId="0" applyNumberFormat="1" applyFont="1" applyFill="1" applyBorder="1" applyAlignment="1">
      <alignment horizontal="right" vertical="top" wrapText="1"/>
    </xf>
    <xf numFmtId="3" fontId="3" fillId="0" borderId="4" xfId="0" applyNumberFormat="1" applyFont="1" applyFill="1" applyBorder="1" applyAlignment="1">
      <alignment horizontal="right" vertical="top" wrapText="1"/>
    </xf>
    <xf numFmtId="3" fontId="3" fillId="0" borderId="3" xfId="0" applyNumberFormat="1" applyFont="1" applyFill="1" applyBorder="1" applyAlignment="1">
      <alignment horizontal="righ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"/>
  <sheetViews>
    <sheetView tabSelected="1" zoomScale="93" zoomScaleNormal="93" workbookViewId="0">
      <selection activeCell="J14" sqref="J14"/>
    </sheetView>
  </sheetViews>
  <sheetFormatPr defaultRowHeight="15" x14ac:dyDescent="0.25"/>
  <cols>
    <col min="1" max="1" width="3.28515625" customWidth="1"/>
    <col min="2" max="2" width="22.28515625" customWidth="1"/>
    <col min="3" max="3" width="21.140625" customWidth="1"/>
    <col min="4" max="4" width="25" customWidth="1"/>
    <col min="18" max="18" width="9.42578125" bestFit="1" customWidth="1"/>
  </cols>
  <sheetData>
    <row r="1" spans="1:18" ht="15.75" x14ac:dyDescent="0.25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</row>
    <row r="2" spans="1:18" ht="15.75" x14ac:dyDescent="0.25">
      <c r="A2" s="72" t="s">
        <v>17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</row>
    <row r="3" spans="1:18" ht="15.75" x14ac:dyDescent="0.25">
      <c r="A3" s="72" t="s">
        <v>18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</row>
    <row r="5" spans="1:18" ht="15.75" customHeight="1" x14ac:dyDescent="0.25">
      <c r="A5" s="73" t="s">
        <v>0</v>
      </c>
      <c r="B5" s="31"/>
      <c r="C5" s="74" t="s">
        <v>1</v>
      </c>
      <c r="D5" s="34" t="s">
        <v>2</v>
      </c>
      <c r="E5" s="74" t="s">
        <v>4</v>
      </c>
      <c r="F5" s="74"/>
      <c r="G5" s="74" t="s">
        <v>5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</row>
    <row r="6" spans="1:18" x14ac:dyDescent="0.25">
      <c r="A6" s="73"/>
      <c r="B6" s="32" t="s">
        <v>6</v>
      </c>
      <c r="C6" s="74"/>
      <c r="D6" s="32" t="s">
        <v>3</v>
      </c>
      <c r="E6" s="74"/>
      <c r="F6" s="74"/>
      <c r="G6" s="74" t="s">
        <v>7</v>
      </c>
      <c r="H6" s="74"/>
      <c r="I6" s="74" t="s">
        <v>8</v>
      </c>
      <c r="J6" s="74"/>
      <c r="K6" s="74" t="s">
        <v>9</v>
      </c>
      <c r="L6" s="74"/>
      <c r="M6" s="74" t="s">
        <v>10</v>
      </c>
      <c r="N6" s="74"/>
      <c r="O6" s="74" t="s">
        <v>11</v>
      </c>
      <c r="P6" s="74"/>
      <c r="Q6" s="74" t="s">
        <v>12</v>
      </c>
      <c r="R6" s="74"/>
    </row>
    <row r="7" spans="1:18" x14ac:dyDescent="0.25">
      <c r="A7" s="73"/>
      <c r="B7" s="33"/>
      <c r="C7" s="74"/>
      <c r="D7" s="35"/>
      <c r="E7" s="30" t="s">
        <v>13</v>
      </c>
      <c r="F7" s="30" t="s">
        <v>14</v>
      </c>
      <c r="G7" s="29" t="s">
        <v>15</v>
      </c>
      <c r="H7" s="29" t="s">
        <v>16</v>
      </c>
      <c r="I7" s="29" t="s">
        <v>15</v>
      </c>
      <c r="J7" s="29" t="s">
        <v>16</v>
      </c>
      <c r="K7" s="29" t="s">
        <v>15</v>
      </c>
      <c r="L7" s="29" t="s">
        <v>16</v>
      </c>
      <c r="M7" s="29" t="s">
        <v>15</v>
      </c>
      <c r="N7" s="29" t="s">
        <v>16</v>
      </c>
      <c r="O7" s="29" t="s">
        <v>15</v>
      </c>
      <c r="P7" s="29" t="s">
        <v>16</v>
      </c>
      <c r="Q7" s="29" t="s">
        <v>15</v>
      </c>
      <c r="R7" s="29" t="s">
        <v>16</v>
      </c>
    </row>
    <row r="8" spans="1:18" x14ac:dyDescent="0.25">
      <c r="A8" s="1"/>
      <c r="B8" s="2"/>
      <c r="C8" s="3" t="s">
        <v>19</v>
      </c>
      <c r="D8" s="4"/>
      <c r="E8" s="27"/>
      <c r="F8" s="27"/>
      <c r="G8" s="28"/>
      <c r="H8" s="28"/>
      <c r="I8" s="28"/>
      <c r="J8" s="28"/>
      <c r="K8" s="28"/>
      <c r="L8" s="28"/>
      <c r="M8" s="36"/>
      <c r="N8" s="37"/>
      <c r="O8" s="28"/>
      <c r="P8" s="28"/>
      <c r="Q8" s="28"/>
      <c r="R8" s="28"/>
    </row>
    <row r="9" spans="1:18" ht="38.25" x14ac:dyDescent="0.25">
      <c r="A9" s="5">
        <v>1</v>
      </c>
      <c r="B9" s="70" t="s">
        <v>20</v>
      </c>
      <c r="C9" s="6" t="s">
        <v>21</v>
      </c>
      <c r="D9" s="3" t="s">
        <v>22</v>
      </c>
      <c r="E9" s="27"/>
      <c r="F9" s="27"/>
      <c r="G9" s="42"/>
      <c r="H9" s="42"/>
      <c r="I9" s="42"/>
      <c r="J9" s="42"/>
      <c r="K9" s="42"/>
      <c r="L9" s="42"/>
      <c r="M9" s="38"/>
      <c r="N9" s="39"/>
      <c r="O9" s="42"/>
      <c r="P9" s="42"/>
      <c r="Q9" s="42"/>
      <c r="R9" s="42"/>
    </row>
    <row r="10" spans="1:18" ht="25.5" x14ac:dyDescent="0.25">
      <c r="A10" s="7"/>
      <c r="B10" s="71"/>
      <c r="C10" s="8" t="s">
        <v>23</v>
      </c>
      <c r="D10" s="8" t="s">
        <v>24</v>
      </c>
      <c r="E10" s="41">
        <v>0</v>
      </c>
      <c r="F10" s="41">
        <v>0</v>
      </c>
      <c r="G10" s="55">
        <v>0</v>
      </c>
      <c r="H10" s="55">
        <v>0</v>
      </c>
      <c r="I10" s="55">
        <v>0</v>
      </c>
      <c r="J10" s="55">
        <v>0</v>
      </c>
      <c r="K10" s="56" t="s">
        <v>120</v>
      </c>
      <c r="L10" s="38">
        <v>150000</v>
      </c>
      <c r="M10" s="56" t="s">
        <v>120</v>
      </c>
      <c r="N10" s="38">
        <v>150000</v>
      </c>
      <c r="O10" s="56" t="s">
        <v>120</v>
      </c>
      <c r="P10" s="57">
        <v>150000</v>
      </c>
      <c r="Q10" s="56" t="s">
        <v>120</v>
      </c>
      <c r="R10" s="60">
        <f t="shared" ref="R10:R13" si="0">+P10+N10+L10+J10+H10</f>
        <v>450000</v>
      </c>
    </row>
    <row r="11" spans="1:18" ht="25.5" x14ac:dyDescent="0.25">
      <c r="A11" s="7"/>
      <c r="B11" s="71"/>
      <c r="C11" s="8" t="s">
        <v>25</v>
      </c>
      <c r="D11" s="8" t="s">
        <v>26</v>
      </c>
      <c r="E11" s="41">
        <v>0</v>
      </c>
      <c r="F11" s="41">
        <v>0</v>
      </c>
      <c r="G11" s="55">
        <v>0</v>
      </c>
      <c r="H11" s="55">
        <v>0</v>
      </c>
      <c r="I11" s="55">
        <v>0</v>
      </c>
      <c r="J11" s="55">
        <v>0</v>
      </c>
      <c r="K11" s="56" t="s">
        <v>120</v>
      </c>
      <c r="L11" s="38">
        <v>150000</v>
      </c>
      <c r="M11" s="56" t="s">
        <v>120</v>
      </c>
      <c r="N11" s="38">
        <v>150000</v>
      </c>
      <c r="O11" s="56" t="s">
        <v>120</v>
      </c>
      <c r="P11" s="57">
        <v>150000</v>
      </c>
      <c r="Q11" s="56" t="s">
        <v>120</v>
      </c>
      <c r="R11" s="60">
        <f t="shared" si="0"/>
        <v>450000</v>
      </c>
    </row>
    <row r="12" spans="1:18" ht="25.5" x14ac:dyDescent="0.25">
      <c r="A12" s="7"/>
      <c r="B12" s="9"/>
      <c r="C12" s="10" t="s">
        <v>27</v>
      </c>
      <c r="D12" s="10" t="s">
        <v>28</v>
      </c>
      <c r="E12" s="41">
        <v>0</v>
      </c>
      <c r="F12" s="41">
        <v>0</v>
      </c>
      <c r="G12" s="55">
        <v>0</v>
      </c>
      <c r="H12" s="55">
        <v>0</v>
      </c>
      <c r="I12" s="55">
        <v>0</v>
      </c>
      <c r="J12" s="55">
        <v>0</v>
      </c>
      <c r="K12" s="56" t="s">
        <v>120</v>
      </c>
      <c r="L12" s="38">
        <v>150000</v>
      </c>
      <c r="M12" s="56" t="s">
        <v>120</v>
      </c>
      <c r="N12" s="38">
        <v>150000</v>
      </c>
      <c r="O12" s="56" t="s">
        <v>120</v>
      </c>
      <c r="P12" s="57">
        <v>150000</v>
      </c>
      <c r="Q12" s="56" t="s">
        <v>120</v>
      </c>
      <c r="R12" s="60">
        <f t="shared" si="0"/>
        <v>450000</v>
      </c>
    </row>
    <row r="13" spans="1:18" ht="38.25" x14ac:dyDescent="0.25">
      <c r="A13" s="7"/>
      <c r="B13" s="9"/>
      <c r="C13" s="8" t="s">
        <v>29</v>
      </c>
      <c r="D13" s="8" t="s">
        <v>30</v>
      </c>
      <c r="E13" s="41">
        <v>0</v>
      </c>
      <c r="F13" s="41">
        <v>0</v>
      </c>
      <c r="G13" s="55">
        <v>0</v>
      </c>
      <c r="H13" s="55">
        <v>0</v>
      </c>
      <c r="I13" s="55">
        <v>0</v>
      </c>
      <c r="J13" s="55">
        <v>0</v>
      </c>
      <c r="K13" s="56" t="s">
        <v>120</v>
      </c>
      <c r="L13" s="38">
        <v>100000</v>
      </c>
      <c r="M13" s="56" t="s">
        <v>120</v>
      </c>
      <c r="N13" s="38">
        <v>100000</v>
      </c>
      <c r="O13" s="56" t="s">
        <v>120</v>
      </c>
      <c r="P13" s="57">
        <v>100000</v>
      </c>
      <c r="Q13" s="56" t="s">
        <v>120</v>
      </c>
      <c r="R13" s="60">
        <f t="shared" si="0"/>
        <v>300000</v>
      </c>
    </row>
    <row r="14" spans="1:18" ht="25.5" x14ac:dyDescent="0.25">
      <c r="A14" s="7"/>
      <c r="B14" s="71"/>
      <c r="C14" s="6" t="s">
        <v>31</v>
      </c>
      <c r="D14" s="3" t="s">
        <v>32</v>
      </c>
      <c r="E14" s="41"/>
      <c r="F14" s="41"/>
      <c r="G14" s="56"/>
      <c r="H14" s="56"/>
      <c r="I14" s="56"/>
      <c r="J14" s="56"/>
      <c r="K14" s="56"/>
      <c r="L14" s="38"/>
      <c r="M14" s="56"/>
      <c r="N14" s="38"/>
      <c r="O14" s="56"/>
      <c r="P14" s="56"/>
      <c r="Q14" s="56"/>
      <c r="R14" s="56"/>
    </row>
    <row r="15" spans="1:18" ht="25.5" x14ac:dyDescent="0.25">
      <c r="A15" s="7"/>
      <c r="B15" s="71"/>
      <c r="C15" s="8" t="s">
        <v>33</v>
      </c>
      <c r="D15" s="8" t="s">
        <v>34</v>
      </c>
      <c r="E15" s="41">
        <v>0</v>
      </c>
      <c r="F15" s="41">
        <v>0</v>
      </c>
      <c r="G15" s="55">
        <v>0</v>
      </c>
      <c r="H15" s="55">
        <v>0</v>
      </c>
      <c r="I15" s="55">
        <v>0</v>
      </c>
      <c r="J15" s="55">
        <v>0</v>
      </c>
      <c r="K15" s="56" t="s">
        <v>120</v>
      </c>
      <c r="L15" s="38">
        <v>150000</v>
      </c>
      <c r="M15" s="56" t="s">
        <v>120</v>
      </c>
      <c r="N15" s="38">
        <v>150000</v>
      </c>
      <c r="O15" s="56" t="s">
        <v>120</v>
      </c>
      <c r="P15" s="57">
        <v>200000</v>
      </c>
      <c r="Q15" s="56" t="s">
        <v>120</v>
      </c>
      <c r="R15" s="60">
        <f t="shared" ref="R15:R17" si="1">+P15+N15+L15+J15+H15</f>
        <v>500000</v>
      </c>
    </row>
    <row r="16" spans="1:18" ht="25.5" x14ac:dyDescent="0.25">
      <c r="A16" s="7"/>
      <c r="B16" s="71"/>
      <c r="C16" s="8" t="s">
        <v>35</v>
      </c>
      <c r="D16" s="8" t="s">
        <v>36</v>
      </c>
      <c r="E16" s="41">
        <v>0</v>
      </c>
      <c r="F16" s="41">
        <v>0</v>
      </c>
      <c r="G16" s="55">
        <v>0</v>
      </c>
      <c r="H16" s="55">
        <v>0</v>
      </c>
      <c r="I16" s="55">
        <v>0</v>
      </c>
      <c r="J16" s="55">
        <v>0</v>
      </c>
      <c r="K16" s="56" t="s">
        <v>120</v>
      </c>
      <c r="L16" s="38">
        <v>150000</v>
      </c>
      <c r="M16" s="56" t="s">
        <v>120</v>
      </c>
      <c r="N16" s="38">
        <v>150000</v>
      </c>
      <c r="O16" s="56" t="s">
        <v>120</v>
      </c>
      <c r="P16" s="57">
        <v>150000</v>
      </c>
      <c r="Q16" s="56" t="s">
        <v>120</v>
      </c>
      <c r="R16" s="60">
        <f t="shared" si="1"/>
        <v>450000</v>
      </c>
    </row>
    <row r="17" spans="1:18" ht="25.5" x14ac:dyDescent="0.25">
      <c r="A17" s="7"/>
      <c r="B17" s="71"/>
      <c r="C17" s="8" t="s">
        <v>37</v>
      </c>
      <c r="D17" s="8" t="s">
        <v>38</v>
      </c>
      <c r="E17" s="41">
        <v>0</v>
      </c>
      <c r="F17" s="41">
        <v>0</v>
      </c>
      <c r="G17" s="55">
        <v>0</v>
      </c>
      <c r="H17" s="55">
        <v>0</v>
      </c>
      <c r="I17" s="55">
        <v>0</v>
      </c>
      <c r="J17" s="55">
        <v>0</v>
      </c>
      <c r="K17" s="56" t="s">
        <v>120</v>
      </c>
      <c r="L17" s="38">
        <v>100000</v>
      </c>
      <c r="M17" s="56" t="s">
        <v>120</v>
      </c>
      <c r="N17" s="38">
        <v>100000</v>
      </c>
      <c r="O17" s="56" t="s">
        <v>120</v>
      </c>
      <c r="P17" s="57">
        <v>100000</v>
      </c>
      <c r="Q17" s="56" t="s">
        <v>120</v>
      </c>
      <c r="R17" s="60">
        <f t="shared" si="1"/>
        <v>300000</v>
      </c>
    </row>
    <row r="18" spans="1:18" ht="38.25" x14ac:dyDescent="0.25">
      <c r="A18" s="7"/>
      <c r="B18" s="71"/>
      <c r="C18" s="11" t="s">
        <v>39</v>
      </c>
      <c r="D18" s="12"/>
      <c r="E18" s="41">
        <v>0</v>
      </c>
      <c r="F18" s="41">
        <v>0</v>
      </c>
      <c r="G18" s="56"/>
      <c r="H18" s="56"/>
      <c r="I18" s="56"/>
      <c r="J18" s="56"/>
      <c r="K18" s="56"/>
      <c r="L18" s="56"/>
      <c r="M18" s="38"/>
      <c r="N18" s="38"/>
      <c r="O18" s="56"/>
      <c r="P18" s="56"/>
      <c r="Q18" s="56"/>
      <c r="R18" s="56"/>
    </row>
    <row r="19" spans="1:18" ht="25.5" x14ac:dyDescent="0.25">
      <c r="A19" s="7"/>
      <c r="B19" s="71"/>
      <c r="C19" s="10" t="s">
        <v>40</v>
      </c>
      <c r="D19" s="13" t="s">
        <v>41</v>
      </c>
      <c r="E19" s="41">
        <v>0</v>
      </c>
      <c r="F19" s="41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6" t="s">
        <v>122</v>
      </c>
      <c r="N19" s="38">
        <v>334384</v>
      </c>
      <c r="O19" s="56" t="s">
        <v>122</v>
      </c>
      <c r="P19" s="57">
        <v>350000</v>
      </c>
      <c r="Q19" s="56" t="s">
        <v>122</v>
      </c>
      <c r="R19" s="60">
        <f t="shared" ref="R19" si="2">+P19+N19+L19+J19+H19</f>
        <v>684384</v>
      </c>
    </row>
    <row r="20" spans="1:18" ht="51" x14ac:dyDescent="0.25">
      <c r="A20" s="7"/>
      <c r="B20" s="71"/>
      <c r="C20" s="6" t="s">
        <v>42</v>
      </c>
      <c r="D20" s="3" t="s">
        <v>43</v>
      </c>
      <c r="E20" s="41"/>
      <c r="F20" s="41"/>
      <c r="G20" s="56"/>
      <c r="H20" s="56"/>
      <c r="I20" s="56"/>
      <c r="J20" s="56"/>
      <c r="K20" s="56"/>
      <c r="L20" s="56"/>
      <c r="M20" s="38"/>
      <c r="N20" s="38"/>
      <c r="O20" s="56"/>
      <c r="P20" s="56"/>
      <c r="Q20" s="56"/>
      <c r="R20" s="56"/>
    </row>
    <row r="21" spans="1:18" ht="25.5" x14ac:dyDescent="0.25">
      <c r="A21" s="7"/>
      <c r="B21" s="71"/>
      <c r="C21" s="10" t="s">
        <v>44</v>
      </c>
      <c r="D21" s="10" t="s">
        <v>45</v>
      </c>
      <c r="E21" s="41">
        <v>0</v>
      </c>
      <c r="F21" s="41">
        <v>0</v>
      </c>
      <c r="G21" s="55">
        <v>0</v>
      </c>
      <c r="H21" s="55">
        <v>0</v>
      </c>
      <c r="I21" s="55">
        <v>0</v>
      </c>
      <c r="J21" s="55">
        <v>0</v>
      </c>
      <c r="K21" s="56" t="s">
        <v>120</v>
      </c>
      <c r="L21" s="38">
        <v>100000</v>
      </c>
      <c r="M21" s="56" t="s">
        <v>120</v>
      </c>
      <c r="N21" s="38">
        <v>100000</v>
      </c>
      <c r="O21" s="56" t="s">
        <v>120</v>
      </c>
      <c r="P21" s="57">
        <v>100000</v>
      </c>
      <c r="Q21" s="56" t="s">
        <v>120</v>
      </c>
      <c r="R21" s="60">
        <f t="shared" ref="R21:R22" si="3">+P21+N21+L21+J21+H21</f>
        <v>300000</v>
      </c>
    </row>
    <row r="22" spans="1:18" ht="38.25" x14ac:dyDescent="0.25">
      <c r="A22" s="7"/>
      <c r="B22" s="9"/>
      <c r="C22" s="8" t="s">
        <v>46</v>
      </c>
      <c r="D22" s="8" t="s">
        <v>47</v>
      </c>
      <c r="E22" s="41">
        <v>0</v>
      </c>
      <c r="F22" s="41">
        <v>0</v>
      </c>
      <c r="G22" s="55">
        <v>0</v>
      </c>
      <c r="H22" s="55">
        <v>0</v>
      </c>
      <c r="I22" s="55">
        <v>0</v>
      </c>
      <c r="J22" s="55">
        <v>0</v>
      </c>
      <c r="K22" s="56" t="s">
        <v>120</v>
      </c>
      <c r="L22" s="38">
        <v>50000</v>
      </c>
      <c r="M22" s="56" t="s">
        <v>120</v>
      </c>
      <c r="N22" s="38">
        <v>50000</v>
      </c>
      <c r="O22" s="56" t="s">
        <v>120</v>
      </c>
      <c r="P22" s="57">
        <v>50000</v>
      </c>
      <c r="Q22" s="56" t="s">
        <v>120</v>
      </c>
      <c r="R22" s="60">
        <f t="shared" si="3"/>
        <v>150000</v>
      </c>
    </row>
    <row r="23" spans="1:18" ht="38.25" x14ac:dyDescent="0.25">
      <c r="A23" s="7"/>
      <c r="B23" s="71"/>
      <c r="C23" s="6" t="s">
        <v>48</v>
      </c>
      <c r="D23" s="3" t="s">
        <v>49</v>
      </c>
      <c r="E23" s="41"/>
      <c r="F23" s="41"/>
      <c r="G23" s="56"/>
      <c r="H23" s="56"/>
      <c r="I23" s="56"/>
      <c r="J23" s="56"/>
      <c r="K23" s="56"/>
      <c r="L23" s="56"/>
      <c r="M23" s="38"/>
      <c r="N23" s="38"/>
      <c r="O23" s="56"/>
      <c r="P23" s="56"/>
      <c r="Q23" s="56"/>
      <c r="R23" s="56"/>
    </row>
    <row r="24" spans="1:18" ht="38.25" x14ac:dyDescent="0.25">
      <c r="A24" s="7"/>
      <c r="B24" s="71"/>
      <c r="C24" s="10" t="s">
        <v>50</v>
      </c>
      <c r="D24" s="10" t="s">
        <v>51</v>
      </c>
      <c r="E24" s="41">
        <v>0</v>
      </c>
      <c r="F24" s="41">
        <v>0</v>
      </c>
      <c r="G24" s="58" t="s">
        <v>123</v>
      </c>
      <c r="H24" s="55">
        <v>50000</v>
      </c>
      <c r="I24" s="58" t="s">
        <v>123</v>
      </c>
      <c r="J24" s="55">
        <v>60000</v>
      </c>
      <c r="K24" s="58" t="s">
        <v>123</v>
      </c>
      <c r="L24" s="55">
        <v>70000</v>
      </c>
      <c r="M24" s="58" t="s">
        <v>123</v>
      </c>
      <c r="N24" s="38">
        <v>100000</v>
      </c>
      <c r="O24" s="58" t="s">
        <v>123</v>
      </c>
      <c r="P24" s="57">
        <v>100000</v>
      </c>
      <c r="Q24" s="58" t="s">
        <v>123</v>
      </c>
      <c r="R24" s="60">
        <f>+P24+N24+L24+J24+H24</f>
        <v>380000</v>
      </c>
    </row>
    <row r="25" spans="1:18" ht="25.5" x14ac:dyDescent="0.25">
      <c r="A25" s="7"/>
      <c r="B25" s="9"/>
      <c r="C25" s="10" t="s">
        <v>52</v>
      </c>
      <c r="D25" s="10" t="s">
        <v>53</v>
      </c>
      <c r="E25" s="41">
        <v>0</v>
      </c>
      <c r="F25" s="41">
        <v>0</v>
      </c>
      <c r="G25" s="56" t="s">
        <v>116</v>
      </c>
      <c r="H25" s="55">
        <v>200000</v>
      </c>
      <c r="I25" s="56" t="s">
        <v>118</v>
      </c>
      <c r="J25" s="55">
        <v>150000</v>
      </c>
      <c r="K25" s="56" t="s">
        <v>118</v>
      </c>
      <c r="L25" s="55">
        <v>150000</v>
      </c>
      <c r="M25" s="56" t="s">
        <v>118</v>
      </c>
      <c r="N25" s="38">
        <v>100000</v>
      </c>
      <c r="O25" s="56" t="s">
        <v>118</v>
      </c>
      <c r="P25" s="55">
        <v>150000</v>
      </c>
      <c r="Q25" s="56" t="s">
        <v>141</v>
      </c>
      <c r="R25" s="60">
        <f>+P25+N25+L25+J25+H25</f>
        <v>750000</v>
      </c>
    </row>
    <row r="26" spans="1:18" ht="38.25" x14ac:dyDescent="0.25">
      <c r="A26" s="7"/>
      <c r="B26" s="14"/>
      <c r="C26" s="6" t="s">
        <v>54</v>
      </c>
      <c r="D26" s="3"/>
      <c r="E26" s="41">
        <v>0</v>
      </c>
      <c r="F26" s="41">
        <v>0</v>
      </c>
      <c r="G26" s="56"/>
      <c r="H26" s="56"/>
      <c r="I26" s="56"/>
      <c r="J26" s="56"/>
      <c r="K26" s="56"/>
      <c r="L26" s="56"/>
      <c r="M26" s="38"/>
      <c r="N26" s="38"/>
      <c r="O26" s="56"/>
      <c r="P26" s="56"/>
      <c r="Q26" s="56"/>
      <c r="R26" s="56"/>
    </row>
    <row r="27" spans="1:18" ht="38.25" x14ac:dyDescent="0.25">
      <c r="A27" s="7"/>
      <c r="B27" s="14"/>
      <c r="C27" s="8" t="s">
        <v>55</v>
      </c>
      <c r="D27" s="8" t="s">
        <v>56</v>
      </c>
      <c r="E27" s="41">
        <v>0</v>
      </c>
      <c r="F27" s="41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5">
        <v>0</v>
      </c>
      <c r="M27" s="56" t="s">
        <v>120</v>
      </c>
      <c r="N27" s="38">
        <v>150000</v>
      </c>
      <c r="O27" s="56" t="s">
        <v>120</v>
      </c>
      <c r="P27" s="57">
        <v>150000</v>
      </c>
      <c r="Q27" s="56" t="s">
        <v>120</v>
      </c>
      <c r="R27" s="60">
        <f>+P27+N27+L27+J27+H27</f>
        <v>300000</v>
      </c>
    </row>
    <row r="28" spans="1:18" ht="38.25" x14ac:dyDescent="0.25">
      <c r="A28" s="7"/>
      <c r="B28" s="14"/>
      <c r="C28" s="8" t="s">
        <v>57</v>
      </c>
      <c r="D28" s="8" t="s">
        <v>58</v>
      </c>
      <c r="E28" s="41">
        <v>0</v>
      </c>
      <c r="F28" s="41">
        <v>0</v>
      </c>
      <c r="G28" s="56" t="s">
        <v>129</v>
      </c>
      <c r="H28" s="55">
        <v>75000</v>
      </c>
      <c r="I28" s="56" t="s">
        <v>129</v>
      </c>
      <c r="J28" s="55">
        <v>75000</v>
      </c>
      <c r="K28" s="56" t="s">
        <v>129</v>
      </c>
      <c r="L28" s="55">
        <v>150000</v>
      </c>
      <c r="M28" s="56" t="s">
        <v>129</v>
      </c>
      <c r="N28" s="38">
        <v>100000</v>
      </c>
      <c r="O28" s="56" t="s">
        <v>129</v>
      </c>
      <c r="P28" s="55">
        <v>150000</v>
      </c>
      <c r="Q28" s="61" t="s">
        <v>132</v>
      </c>
      <c r="R28" s="60">
        <f>+P28+N28+L28+J28+H28</f>
        <v>550000</v>
      </c>
    </row>
    <row r="29" spans="1:18" x14ac:dyDescent="0.25">
      <c r="A29" s="17"/>
      <c r="B29" s="18"/>
      <c r="C29" s="8" t="s">
        <v>59</v>
      </c>
      <c r="D29" s="8" t="s">
        <v>60</v>
      </c>
      <c r="E29" s="41">
        <v>0</v>
      </c>
      <c r="F29" s="41">
        <v>0</v>
      </c>
      <c r="G29" s="58" t="s">
        <v>120</v>
      </c>
      <c r="H29" s="55">
        <v>150000</v>
      </c>
      <c r="I29" s="58" t="s">
        <v>120</v>
      </c>
      <c r="J29" s="55">
        <v>150000</v>
      </c>
      <c r="K29" s="58" t="s">
        <v>120</v>
      </c>
      <c r="L29" s="55">
        <v>150000</v>
      </c>
      <c r="M29" s="58" t="s">
        <v>120</v>
      </c>
      <c r="N29" s="40">
        <v>150000</v>
      </c>
      <c r="O29" s="58" t="s">
        <v>120</v>
      </c>
      <c r="P29" s="57">
        <v>150000</v>
      </c>
      <c r="Q29" s="58" t="s">
        <v>120</v>
      </c>
      <c r="R29" s="60">
        <f>+P29+N29+L29+J29+H29</f>
        <v>750000</v>
      </c>
    </row>
    <row r="30" spans="1:18" ht="25.5" x14ac:dyDescent="0.25">
      <c r="A30" s="7"/>
      <c r="B30" s="14"/>
      <c r="C30" s="53" t="s">
        <v>61</v>
      </c>
      <c r="D30" s="53" t="s">
        <v>62</v>
      </c>
      <c r="E30" s="45">
        <v>0</v>
      </c>
      <c r="F30" s="45">
        <v>0</v>
      </c>
      <c r="G30" s="59" t="s">
        <v>129</v>
      </c>
      <c r="H30" s="63">
        <v>6575.8</v>
      </c>
      <c r="I30" s="59" t="s">
        <v>129</v>
      </c>
      <c r="J30" s="63">
        <v>500000</v>
      </c>
      <c r="K30" s="59" t="s">
        <v>129</v>
      </c>
      <c r="L30" s="63">
        <v>500000</v>
      </c>
      <c r="M30" s="59" t="s">
        <v>129</v>
      </c>
      <c r="N30" s="46">
        <v>700000</v>
      </c>
      <c r="O30" s="59" t="s">
        <v>129</v>
      </c>
      <c r="P30" s="60">
        <v>700000</v>
      </c>
      <c r="Q30" s="61" t="s">
        <v>132</v>
      </c>
      <c r="R30" s="60">
        <f>+P30+N30+L30+J30+H30</f>
        <v>2406575.7999999998</v>
      </c>
    </row>
    <row r="31" spans="1:18" x14ac:dyDescent="0.25">
      <c r="A31" s="7"/>
      <c r="B31" s="14"/>
      <c r="C31" s="54"/>
      <c r="D31" s="54" t="s">
        <v>63</v>
      </c>
      <c r="E31" s="51"/>
      <c r="F31" s="51"/>
      <c r="G31" s="62"/>
      <c r="H31" s="62"/>
      <c r="I31" s="62"/>
      <c r="J31" s="62"/>
      <c r="K31" s="62"/>
      <c r="L31" s="62"/>
      <c r="M31" s="52"/>
      <c r="N31" s="52"/>
      <c r="O31" s="62"/>
      <c r="P31" s="62"/>
      <c r="Q31" s="62"/>
      <c r="R31" s="68"/>
    </row>
    <row r="32" spans="1:18" ht="25.5" x14ac:dyDescent="0.25">
      <c r="A32" s="7"/>
      <c r="B32" s="14"/>
      <c r="C32" s="13" t="s">
        <v>64</v>
      </c>
      <c r="D32" s="13" t="s">
        <v>65</v>
      </c>
      <c r="E32" s="41">
        <v>0</v>
      </c>
      <c r="F32" s="41">
        <v>0</v>
      </c>
      <c r="G32" s="59" t="s">
        <v>129</v>
      </c>
      <c r="H32" s="56">
        <v>150</v>
      </c>
      <c r="I32" s="59" t="s">
        <v>129</v>
      </c>
      <c r="J32" s="56">
        <v>150</v>
      </c>
      <c r="K32" s="59" t="s">
        <v>129</v>
      </c>
      <c r="L32" s="56">
        <v>150</v>
      </c>
      <c r="M32" s="59" t="s">
        <v>129</v>
      </c>
      <c r="N32" s="38">
        <v>100000</v>
      </c>
      <c r="O32" s="59" t="s">
        <v>129</v>
      </c>
      <c r="P32" s="57">
        <v>175000</v>
      </c>
      <c r="Q32" s="58" t="s">
        <v>132</v>
      </c>
      <c r="R32" s="57">
        <f>+P32+N32+L32+J32+H32</f>
        <v>275450</v>
      </c>
    </row>
    <row r="33" spans="1:18" ht="25.5" x14ac:dyDescent="0.25">
      <c r="A33" s="7"/>
      <c r="B33" s="14"/>
      <c r="C33" s="53" t="s">
        <v>66</v>
      </c>
      <c r="D33" s="53" t="s">
        <v>67</v>
      </c>
      <c r="E33" s="45">
        <v>0</v>
      </c>
      <c r="F33" s="45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63">
        <v>0</v>
      </c>
      <c r="M33" s="46" t="s">
        <v>126</v>
      </c>
      <c r="N33" s="46">
        <v>1500000</v>
      </c>
      <c r="O33" s="67" t="str">
        <f>+M33</f>
        <v>1 Kegiatan</v>
      </c>
      <c r="P33" s="60">
        <v>5000000</v>
      </c>
      <c r="Q33" s="59" t="s">
        <v>133</v>
      </c>
      <c r="R33" s="60">
        <f>+P33+N33+L33+J33+H33</f>
        <v>6500000</v>
      </c>
    </row>
    <row r="34" spans="1:18" ht="25.5" x14ac:dyDescent="0.25">
      <c r="A34" s="7"/>
      <c r="B34" s="14"/>
      <c r="C34" s="54"/>
      <c r="D34" s="54" t="s">
        <v>68</v>
      </c>
      <c r="E34" s="51"/>
      <c r="F34" s="51"/>
      <c r="G34" s="64"/>
      <c r="H34" s="64"/>
      <c r="I34" s="64"/>
      <c r="J34" s="64"/>
      <c r="K34" s="64"/>
      <c r="L34" s="64"/>
      <c r="M34" s="52"/>
      <c r="N34" s="52"/>
      <c r="O34" s="62"/>
      <c r="P34" s="62"/>
      <c r="Q34" s="62"/>
      <c r="R34" s="68"/>
    </row>
    <row r="35" spans="1:18" ht="38.25" x14ac:dyDescent="0.25">
      <c r="A35" s="7"/>
      <c r="B35" s="14"/>
      <c r="C35" s="10" t="s">
        <v>69</v>
      </c>
      <c r="D35" s="10" t="s">
        <v>70</v>
      </c>
      <c r="E35" s="41">
        <v>0</v>
      </c>
      <c r="F35" s="41">
        <v>0</v>
      </c>
      <c r="G35" s="56" t="s">
        <v>117</v>
      </c>
      <c r="H35" s="56">
        <v>800</v>
      </c>
      <c r="I35" s="56" t="s">
        <v>119</v>
      </c>
      <c r="J35" s="56">
        <v>500</v>
      </c>
      <c r="K35" s="56" t="s">
        <v>119</v>
      </c>
      <c r="L35" s="56">
        <v>500</v>
      </c>
      <c r="M35" s="56" t="s">
        <v>124</v>
      </c>
      <c r="N35" s="38">
        <v>400000</v>
      </c>
      <c r="O35" s="56" t="s">
        <v>124</v>
      </c>
      <c r="P35" s="57">
        <v>750000</v>
      </c>
      <c r="Q35" s="58" t="s">
        <v>134</v>
      </c>
      <c r="R35" s="60">
        <f>+P35+N35+L35+J35+H35</f>
        <v>1151800</v>
      </c>
    </row>
    <row r="36" spans="1:18" ht="25.5" x14ac:dyDescent="0.25">
      <c r="A36" s="7"/>
      <c r="B36" s="14"/>
      <c r="C36" s="13" t="s">
        <v>71</v>
      </c>
      <c r="D36" s="13" t="s">
        <v>72</v>
      </c>
      <c r="E36" s="41">
        <v>0</v>
      </c>
      <c r="F36" s="41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 t="s">
        <v>129</v>
      </c>
      <c r="N36" s="38">
        <v>150000</v>
      </c>
      <c r="O36" s="55">
        <v>0</v>
      </c>
      <c r="P36" s="55">
        <v>0</v>
      </c>
      <c r="Q36" s="55" t="s">
        <v>129</v>
      </c>
      <c r="R36" s="60">
        <f>+P36+N36+L36+J36+H36</f>
        <v>150000</v>
      </c>
    </row>
    <row r="37" spans="1:18" ht="25.5" x14ac:dyDescent="0.25">
      <c r="A37" s="7"/>
      <c r="B37" s="14"/>
      <c r="C37" s="44" t="s">
        <v>73</v>
      </c>
      <c r="D37" s="44" t="s">
        <v>131</v>
      </c>
      <c r="E37" s="45">
        <v>0</v>
      </c>
      <c r="F37" s="45">
        <v>0</v>
      </c>
      <c r="G37" s="63">
        <v>0</v>
      </c>
      <c r="H37" s="63">
        <v>0</v>
      </c>
      <c r="I37" s="63">
        <v>0</v>
      </c>
      <c r="J37" s="63">
        <v>0</v>
      </c>
      <c r="K37" s="63">
        <v>0</v>
      </c>
      <c r="L37" s="63">
        <v>0</v>
      </c>
      <c r="M37" s="63" t="s">
        <v>129</v>
      </c>
      <c r="N37" s="46">
        <v>50000</v>
      </c>
      <c r="O37" s="63">
        <v>0</v>
      </c>
      <c r="P37" s="63">
        <v>0</v>
      </c>
      <c r="Q37" s="63" t="s">
        <v>129</v>
      </c>
      <c r="R37" s="60">
        <f>+P37+N37+L37+J37+H37</f>
        <v>50000</v>
      </c>
    </row>
    <row r="38" spans="1:18" ht="25.5" x14ac:dyDescent="0.25">
      <c r="A38" s="7"/>
      <c r="B38" s="14"/>
      <c r="C38" s="47"/>
      <c r="D38" s="47" t="s">
        <v>74</v>
      </c>
      <c r="E38" s="48"/>
      <c r="F38" s="48"/>
      <c r="G38" s="65"/>
      <c r="H38" s="65"/>
      <c r="I38" s="65"/>
      <c r="J38" s="65"/>
      <c r="K38" s="65"/>
      <c r="L38" s="65"/>
      <c r="M38" s="49"/>
      <c r="N38" s="49"/>
      <c r="O38" s="66"/>
      <c r="P38" s="66"/>
      <c r="Q38" s="66"/>
      <c r="R38" s="69"/>
    </row>
    <row r="39" spans="1:18" x14ac:dyDescent="0.25">
      <c r="A39" s="7"/>
      <c r="B39" s="14"/>
      <c r="C39" s="50"/>
      <c r="D39" s="50" t="s">
        <v>75</v>
      </c>
      <c r="E39" s="51"/>
      <c r="F39" s="51"/>
      <c r="G39" s="64"/>
      <c r="H39" s="64"/>
      <c r="I39" s="64"/>
      <c r="J39" s="64"/>
      <c r="K39" s="64"/>
      <c r="L39" s="64"/>
      <c r="M39" s="52"/>
      <c r="N39" s="52"/>
      <c r="O39" s="62"/>
      <c r="P39" s="62"/>
      <c r="Q39" s="62"/>
      <c r="R39" s="68"/>
    </row>
    <row r="40" spans="1:18" ht="25.5" x14ac:dyDescent="0.25">
      <c r="A40" s="7"/>
      <c r="B40" s="18"/>
      <c r="C40" s="13" t="s">
        <v>76</v>
      </c>
      <c r="D40" s="13" t="s">
        <v>77</v>
      </c>
      <c r="E40" s="41">
        <v>0</v>
      </c>
      <c r="F40" s="41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6" t="s">
        <v>121</v>
      </c>
      <c r="N40" s="38">
        <v>200000</v>
      </c>
      <c r="O40" s="56" t="s">
        <v>121</v>
      </c>
      <c r="P40" s="57">
        <v>100000</v>
      </c>
      <c r="Q40" s="56" t="s">
        <v>135</v>
      </c>
      <c r="R40" s="60">
        <f t="shared" ref="R40:R50" si="4">+P40+N40+L40+J40+H40</f>
        <v>300000</v>
      </c>
    </row>
    <row r="41" spans="1:18" x14ac:dyDescent="0.25">
      <c r="A41" s="7"/>
      <c r="B41" s="14"/>
      <c r="C41" s="13" t="s">
        <v>78</v>
      </c>
      <c r="D41" s="13" t="s">
        <v>79</v>
      </c>
      <c r="E41" s="41">
        <v>0</v>
      </c>
      <c r="F41" s="41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6" t="s">
        <v>120</v>
      </c>
      <c r="N41" s="38">
        <v>250000</v>
      </c>
      <c r="O41" s="56" t="s">
        <v>120</v>
      </c>
      <c r="P41" s="57">
        <v>300000</v>
      </c>
      <c r="Q41" s="56" t="s">
        <v>136</v>
      </c>
      <c r="R41" s="60">
        <f t="shared" si="4"/>
        <v>550000</v>
      </c>
    </row>
    <row r="42" spans="1:18" ht="25.5" x14ac:dyDescent="0.25">
      <c r="A42" s="7"/>
      <c r="B42" s="19"/>
      <c r="C42" s="13" t="s">
        <v>79</v>
      </c>
      <c r="D42" s="13" t="s">
        <v>80</v>
      </c>
      <c r="E42" s="41">
        <v>0</v>
      </c>
      <c r="F42" s="41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6" t="s">
        <v>120</v>
      </c>
      <c r="N42" s="38">
        <v>50000</v>
      </c>
      <c r="O42" s="56" t="s">
        <v>120</v>
      </c>
      <c r="P42" s="57">
        <v>100000</v>
      </c>
      <c r="Q42" s="56" t="s">
        <v>136</v>
      </c>
      <c r="R42" s="60">
        <f t="shared" si="4"/>
        <v>150000</v>
      </c>
    </row>
    <row r="43" spans="1:18" ht="25.5" x14ac:dyDescent="0.25">
      <c r="A43" s="15"/>
      <c r="B43" s="16"/>
      <c r="C43" s="13" t="s">
        <v>81</v>
      </c>
      <c r="D43" s="13" t="s">
        <v>82</v>
      </c>
      <c r="E43" s="41">
        <v>0</v>
      </c>
      <c r="F43" s="41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43">
        <v>1</v>
      </c>
      <c r="N43" s="38">
        <v>50000</v>
      </c>
      <c r="O43" s="55">
        <v>0</v>
      </c>
      <c r="P43" s="55">
        <v>0</v>
      </c>
      <c r="Q43" s="58">
        <v>1</v>
      </c>
      <c r="R43" s="60">
        <f t="shared" si="4"/>
        <v>50000</v>
      </c>
    </row>
    <row r="44" spans="1:18" ht="38.25" x14ac:dyDescent="0.25">
      <c r="A44" s="5">
        <v>2</v>
      </c>
      <c r="B44" s="20" t="s">
        <v>83</v>
      </c>
      <c r="C44" s="6" t="s">
        <v>84</v>
      </c>
      <c r="D44" s="3" t="s">
        <v>142</v>
      </c>
      <c r="E44" s="41"/>
      <c r="F44" s="41"/>
      <c r="G44" s="56"/>
      <c r="H44" s="56"/>
      <c r="I44" s="56"/>
      <c r="J44" s="56"/>
      <c r="K44" s="56"/>
      <c r="L44" s="56"/>
      <c r="M44" s="38"/>
      <c r="N44" s="38"/>
      <c r="O44" s="56"/>
      <c r="P44" s="56"/>
      <c r="Q44" s="56"/>
      <c r="R44" s="56"/>
    </row>
    <row r="45" spans="1:18" ht="25.5" x14ac:dyDescent="0.25">
      <c r="A45" s="7"/>
      <c r="B45" s="21"/>
      <c r="C45" s="10" t="s">
        <v>85</v>
      </c>
      <c r="D45" s="10" t="s">
        <v>86</v>
      </c>
      <c r="E45" s="41">
        <v>0</v>
      </c>
      <c r="F45" s="41">
        <v>0</v>
      </c>
      <c r="G45" s="58" t="s">
        <v>128</v>
      </c>
      <c r="H45" s="55">
        <v>35000</v>
      </c>
      <c r="I45" s="58" t="s">
        <v>128</v>
      </c>
      <c r="J45" s="55">
        <v>45000</v>
      </c>
      <c r="K45" s="58" t="s">
        <v>128</v>
      </c>
      <c r="L45" s="55">
        <v>55000</v>
      </c>
      <c r="M45" s="58" t="s">
        <v>125</v>
      </c>
      <c r="N45" s="38">
        <v>100000</v>
      </c>
      <c r="O45" s="58" t="s">
        <v>125</v>
      </c>
      <c r="P45" s="57">
        <v>100000</v>
      </c>
      <c r="Q45" s="58" t="s">
        <v>137</v>
      </c>
      <c r="R45" s="60">
        <f t="shared" si="4"/>
        <v>335000</v>
      </c>
    </row>
    <row r="46" spans="1:18" ht="38.25" x14ac:dyDescent="0.25">
      <c r="A46" s="15"/>
      <c r="B46" s="22"/>
      <c r="C46" s="10" t="s">
        <v>87</v>
      </c>
      <c r="D46" s="10" t="s">
        <v>88</v>
      </c>
      <c r="E46" s="41">
        <v>0</v>
      </c>
      <c r="F46" s="41">
        <v>0</v>
      </c>
      <c r="G46" s="55">
        <v>0</v>
      </c>
      <c r="H46" s="55">
        <v>0</v>
      </c>
      <c r="I46" s="55">
        <v>0</v>
      </c>
      <c r="J46" s="55">
        <v>0</v>
      </c>
      <c r="K46" s="55">
        <v>0</v>
      </c>
      <c r="L46" s="55">
        <v>0</v>
      </c>
      <c r="M46" s="56" t="s">
        <v>126</v>
      </c>
      <c r="N46" s="38">
        <v>100000</v>
      </c>
      <c r="O46" s="56" t="s">
        <v>126</v>
      </c>
      <c r="P46" s="57">
        <v>250000</v>
      </c>
      <c r="Q46" s="56" t="s">
        <v>133</v>
      </c>
      <c r="R46" s="60">
        <f t="shared" si="4"/>
        <v>350000</v>
      </c>
    </row>
    <row r="47" spans="1:18" ht="25.5" x14ac:dyDescent="0.25">
      <c r="A47" s="5">
        <v>3</v>
      </c>
      <c r="B47" s="70" t="s">
        <v>89</v>
      </c>
      <c r="C47" s="6" t="s">
        <v>90</v>
      </c>
      <c r="D47" s="3" t="s">
        <v>91</v>
      </c>
      <c r="E47" s="41"/>
      <c r="F47" s="41"/>
      <c r="G47" s="56"/>
      <c r="H47" s="56"/>
      <c r="I47" s="56"/>
      <c r="J47" s="56"/>
      <c r="K47" s="56"/>
      <c r="L47" s="56"/>
      <c r="M47" s="38"/>
      <c r="N47" s="38"/>
      <c r="O47" s="56"/>
      <c r="P47" s="56"/>
      <c r="Q47" s="56"/>
      <c r="R47" s="56"/>
    </row>
    <row r="48" spans="1:18" ht="25.5" x14ac:dyDescent="0.25">
      <c r="A48" s="7"/>
      <c r="B48" s="71"/>
      <c r="C48" s="10" t="s">
        <v>92</v>
      </c>
      <c r="D48" s="10" t="s">
        <v>93</v>
      </c>
      <c r="E48" s="41">
        <v>0</v>
      </c>
      <c r="F48" s="41">
        <v>0</v>
      </c>
      <c r="G48" s="58" t="s">
        <v>130</v>
      </c>
      <c r="H48" s="55">
        <v>35000</v>
      </c>
      <c r="I48" s="58" t="s">
        <v>130</v>
      </c>
      <c r="J48" s="55">
        <v>45000</v>
      </c>
      <c r="K48" s="58" t="s">
        <v>130</v>
      </c>
      <c r="L48" s="55">
        <v>55000</v>
      </c>
      <c r="M48" s="58" t="s">
        <v>130</v>
      </c>
      <c r="N48" s="38">
        <v>75000</v>
      </c>
      <c r="O48" s="58" t="s">
        <v>130</v>
      </c>
      <c r="P48" s="55">
        <v>78000</v>
      </c>
      <c r="Q48" s="58" t="s">
        <v>120</v>
      </c>
      <c r="R48" s="60">
        <f t="shared" si="4"/>
        <v>288000</v>
      </c>
    </row>
    <row r="49" spans="1:18" x14ac:dyDescent="0.25">
      <c r="A49" s="7"/>
      <c r="B49" s="14"/>
      <c r="C49" s="10" t="s">
        <v>94</v>
      </c>
      <c r="D49" s="10" t="s">
        <v>95</v>
      </c>
      <c r="E49" s="41">
        <v>0</v>
      </c>
      <c r="F49" s="41">
        <v>0</v>
      </c>
      <c r="G49" s="58" t="s">
        <v>120</v>
      </c>
      <c r="H49" s="55">
        <v>70000</v>
      </c>
      <c r="I49" s="58" t="s">
        <v>120</v>
      </c>
      <c r="J49" s="55">
        <v>80000</v>
      </c>
      <c r="K49" s="58" t="s">
        <v>120</v>
      </c>
      <c r="L49" s="55">
        <v>90000</v>
      </c>
      <c r="M49" s="58" t="s">
        <v>120</v>
      </c>
      <c r="N49" s="38">
        <v>150000</v>
      </c>
      <c r="O49" s="58" t="s">
        <v>120</v>
      </c>
      <c r="P49" s="57">
        <v>200000</v>
      </c>
      <c r="Q49" s="58" t="s">
        <v>120</v>
      </c>
      <c r="R49" s="60">
        <f t="shared" si="4"/>
        <v>590000</v>
      </c>
    </row>
    <row r="50" spans="1:18" ht="38.25" x14ac:dyDescent="0.25">
      <c r="A50" s="7"/>
      <c r="B50" s="14"/>
      <c r="C50" s="10" t="s">
        <v>96</v>
      </c>
      <c r="D50" s="10" t="s">
        <v>97</v>
      </c>
      <c r="E50" s="41">
        <v>0</v>
      </c>
      <c r="F50" s="41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55">
        <v>0</v>
      </c>
      <c r="M50" s="56" t="s">
        <v>123</v>
      </c>
      <c r="N50" s="38">
        <v>150000</v>
      </c>
      <c r="O50" s="56" t="s">
        <v>123</v>
      </c>
      <c r="P50" s="57">
        <v>150000</v>
      </c>
      <c r="Q50" s="56" t="s">
        <v>123</v>
      </c>
      <c r="R50" s="60">
        <f t="shared" si="4"/>
        <v>300000</v>
      </c>
    </row>
    <row r="51" spans="1:18" ht="25.5" x14ac:dyDescent="0.25">
      <c r="A51" s="7"/>
      <c r="B51" s="18"/>
      <c r="C51" s="13" t="s">
        <v>98</v>
      </c>
      <c r="D51" s="10" t="s">
        <v>99</v>
      </c>
      <c r="E51" s="41">
        <v>0</v>
      </c>
      <c r="F51" s="41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55">
        <v>0</v>
      </c>
      <c r="M51" s="56" t="s">
        <v>120</v>
      </c>
      <c r="N51" s="38">
        <v>75000</v>
      </c>
      <c r="O51" s="56" t="s">
        <v>120</v>
      </c>
      <c r="P51" s="57">
        <v>100000</v>
      </c>
      <c r="Q51" s="58" t="s">
        <v>120</v>
      </c>
      <c r="R51" s="60">
        <f t="shared" ref="R51:R52" si="5">+P51+N51+L51+J51+H51</f>
        <v>175000</v>
      </c>
    </row>
    <row r="52" spans="1:18" ht="25.5" x14ac:dyDescent="0.25">
      <c r="A52" s="23"/>
      <c r="B52" s="24"/>
      <c r="C52" s="13" t="s">
        <v>100</v>
      </c>
      <c r="D52" s="13" t="s">
        <v>101</v>
      </c>
      <c r="E52" s="41">
        <v>0</v>
      </c>
      <c r="F52" s="41">
        <v>0</v>
      </c>
      <c r="G52" s="55">
        <v>0</v>
      </c>
      <c r="H52" s="55">
        <v>0</v>
      </c>
      <c r="I52" s="55">
        <v>0</v>
      </c>
      <c r="J52" s="55">
        <v>0</v>
      </c>
      <c r="K52" s="55">
        <v>0</v>
      </c>
      <c r="L52" s="55">
        <v>0</v>
      </c>
      <c r="M52" s="56" t="s">
        <v>120</v>
      </c>
      <c r="N52" s="38">
        <v>75000</v>
      </c>
      <c r="O52" s="56" t="s">
        <v>120</v>
      </c>
      <c r="P52" s="57">
        <v>150000</v>
      </c>
      <c r="Q52" s="58" t="s">
        <v>120</v>
      </c>
      <c r="R52" s="60">
        <f t="shared" si="5"/>
        <v>225000</v>
      </c>
    </row>
    <row r="53" spans="1:18" ht="38.25" x14ac:dyDescent="0.25">
      <c r="A53" s="5">
        <v>4</v>
      </c>
      <c r="B53" s="70" t="s">
        <v>89</v>
      </c>
      <c r="C53" s="11" t="s">
        <v>102</v>
      </c>
      <c r="D53" s="12" t="s">
        <v>143</v>
      </c>
      <c r="E53" s="41"/>
      <c r="F53" s="41"/>
      <c r="G53" s="56"/>
      <c r="H53" s="56"/>
      <c r="I53" s="56"/>
      <c r="J53" s="56"/>
      <c r="K53" s="56"/>
      <c r="L53" s="56"/>
      <c r="M53" s="56"/>
      <c r="N53" s="38"/>
      <c r="O53" s="56"/>
      <c r="P53" s="56"/>
      <c r="Q53" s="56"/>
      <c r="R53" s="56"/>
    </row>
    <row r="54" spans="1:18" ht="38.25" x14ac:dyDescent="0.25">
      <c r="A54" s="25"/>
      <c r="B54" s="71"/>
      <c r="C54" s="13" t="s">
        <v>103</v>
      </c>
      <c r="D54" s="13" t="s">
        <v>104</v>
      </c>
      <c r="E54" s="41">
        <v>0</v>
      </c>
      <c r="F54" s="41">
        <v>0</v>
      </c>
      <c r="G54" s="55">
        <v>0</v>
      </c>
      <c r="H54" s="55">
        <v>0</v>
      </c>
      <c r="I54" s="55">
        <v>0</v>
      </c>
      <c r="J54" s="55">
        <v>0</v>
      </c>
      <c r="K54" s="55">
        <v>0</v>
      </c>
      <c r="L54" s="55">
        <v>0</v>
      </c>
      <c r="M54" s="56" t="s">
        <v>127</v>
      </c>
      <c r="N54" s="38">
        <v>100000</v>
      </c>
      <c r="O54" s="56" t="s">
        <v>127</v>
      </c>
      <c r="P54" s="57">
        <v>150000</v>
      </c>
      <c r="Q54" s="58" t="s">
        <v>139</v>
      </c>
      <c r="R54" s="60">
        <f t="shared" ref="R54:R60" si="6">+P54+N54+L54+J54+H54</f>
        <v>250000</v>
      </c>
    </row>
    <row r="55" spans="1:18" ht="25.5" x14ac:dyDescent="0.25">
      <c r="A55" s="23"/>
      <c r="B55" s="24"/>
      <c r="C55" s="13" t="s">
        <v>105</v>
      </c>
      <c r="D55" s="13" t="s">
        <v>106</v>
      </c>
      <c r="E55" s="41">
        <v>0</v>
      </c>
      <c r="F55" s="41">
        <v>0</v>
      </c>
      <c r="G55" s="55">
        <v>0</v>
      </c>
      <c r="H55" s="55">
        <v>0</v>
      </c>
      <c r="I55" s="55">
        <v>0</v>
      </c>
      <c r="J55" s="55">
        <v>0</v>
      </c>
      <c r="K55" s="55">
        <v>0</v>
      </c>
      <c r="L55" s="55">
        <v>0</v>
      </c>
      <c r="M55" s="56" t="s">
        <v>128</v>
      </c>
      <c r="N55" s="38">
        <v>50000</v>
      </c>
      <c r="O55" s="56" t="s">
        <v>128</v>
      </c>
      <c r="P55" s="57">
        <v>50000</v>
      </c>
      <c r="Q55" s="58" t="s">
        <v>138</v>
      </c>
      <c r="R55" s="60">
        <f t="shared" si="6"/>
        <v>100000</v>
      </c>
    </row>
    <row r="56" spans="1:18" ht="25.5" x14ac:dyDescent="0.25">
      <c r="A56" s="5">
        <v>5</v>
      </c>
      <c r="B56" s="70" t="s">
        <v>145</v>
      </c>
      <c r="C56" s="11" t="s">
        <v>107</v>
      </c>
      <c r="D56" s="11" t="s">
        <v>144</v>
      </c>
      <c r="E56" s="41"/>
      <c r="F56" s="41"/>
      <c r="G56" s="56"/>
      <c r="H56" s="56"/>
      <c r="I56" s="56"/>
      <c r="J56" s="56"/>
      <c r="K56" s="56"/>
      <c r="L56" s="56"/>
      <c r="M56" s="38"/>
      <c r="N56" s="38"/>
      <c r="O56" s="56"/>
      <c r="P56" s="56"/>
      <c r="Q56" s="56"/>
      <c r="R56" s="56"/>
    </row>
    <row r="57" spans="1:18" ht="51" x14ac:dyDescent="0.25">
      <c r="A57" s="25"/>
      <c r="B57" s="71"/>
      <c r="C57" s="13" t="s">
        <v>108</v>
      </c>
      <c r="D57" s="13" t="s">
        <v>109</v>
      </c>
      <c r="E57" s="41">
        <v>0</v>
      </c>
      <c r="F57" s="41">
        <v>0</v>
      </c>
      <c r="G57" s="55">
        <v>0</v>
      </c>
      <c r="H57" s="55">
        <v>0</v>
      </c>
      <c r="I57" s="55">
        <v>0</v>
      </c>
      <c r="J57" s="55">
        <v>0</v>
      </c>
      <c r="K57" s="55">
        <v>0</v>
      </c>
      <c r="L57" s="55">
        <v>0</v>
      </c>
      <c r="M57" s="56" t="s">
        <v>120</v>
      </c>
      <c r="N57" s="38">
        <v>361400</v>
      </c>
      <c r="O57" s="56" t="s">
        <v>120</v>
      </c>
      <c r="P57" s="57">
        <v>361400</v>
      </c>
      <c r="Q57" s="56" t="s">
        <v>120</v>
      </c>
      <c r="R57" s="60">
        <f t="shared" si="6"/>
        <v>722800</v>
      </c>
    </row>
    <row r="58" spans="1:18" ht="25.5" x14ac:dyDescent="0.25">
      <c r="A58" s="25"/>
      <c r="B58" s="26"/>
      <c r="C58" s="13" t="s">
        <v>110</v>
      </c>
      <c r="D58" s="13" t="s">
        <v>111</v>
      </c>
      <c r="E58" s="41">
        <v>0</v>
      </c>
      <c r="F58" s="41">
        <v>0</v>
      </c>
      <c r="G58" s="55">
        <v>0</v>
      </c>
      <c r="H58" s="55">
        <v>0</v>
      </c>
      <c r="I58" s="55">
        <v>0</v>
      </c>
      <c r="J58" s="55">
        <v>0</v>
      </c>
      <c r="K58" s="55">
        <v>0</v>
      </c>
      <c r="L58" s="55">
        <v>0</v>
      </c>
      <c r="M58" s="56" t="s">
        <v>129</v>
      </c>
      <c r="N58" s="38">
        <v>800000</v>
      </c>
      <c r="O58" s="56" t="s">
        <v>129</v>
      </c>
      <c r="P58" s="57">
        <v>1500000</v>
      </c>
      <c r="Q58" s="56" t="s">
        <v>140</v>
      </c>
      <c r="R58" s="60">
        <f t="shared" si="6"/>
        <v>2300000</v>
      </c>
    </row>
    <row r="59" spans="1:18" ht="25.5" x14ac:dyDescent="0.25">
      <c r="A59" s="25"/>
      <c r="B59" s="26"/>
      <c r="C59" s="13" t="s">
        <v>112</v>
      </c>
      <c r="D59" s="13" t="s">
        <v>113</v>
      </c>
      <c r="E59" s="41">
        <v>0</v>
      </c>
      <c r="F59" s="41">
        <v>0</v>
      </c>
      <c r="G59" s="55">
        <v>0</v>
      </c>
      <c r="H59" s="55">
        <v>0</v>
      </c>
      <c r="I59" s="55">
        <v>0</v>
      </c>
      <c r="J59" s="55">
        <v>0</v>
      </c>
      <c r="K59" s="55">
        <v>0</v>
      </c>
      <c r="L59" s="55">
        <v>0</v>
      </c>
      <c r="M59" s="56" t="s">
        <v>120</v>
      </c>
      <c r="N59" s="38">
        <v>120000</v>
      </c>
      <c r="O59" s="56" t="s">
        <v>120</v>
      </c>
      <c r="P59" s="57">
        <v>250000</v>
      </c>
      <c r="Q59" s="56" t="s">
        <v>120</v>
      </c>
      <c r="R59" s="60">
        <f t="shared" si="6"/>
        <v>370000</v>
      </c>
    </row>
    <row r="60" spans="1:18" x14ac:dyDescent="0.25">
      <c r="A60" s="23"/>
      <c r="B60" s="24"/>
      <c r="C60" s="13" t="s">
        <v>114</v>
      </c>
      <c r="D60" s="13" t="s">
        <v>115</v>
      </c>
      <c r="E60" s="41">
        <v>0</v>
      </c>
      <c r="F60" s="41">
        <v>0</v>
      </c>
      <c r="G60" s="55">
        <v>0</v>
      </c>
      <c r="H60" s="55">
        <v>0</v>
      </c>
      <c r="I60" s="55">
        <v>0</v>
      </c>
      <c r="J60" s="55">
        <v>0</v>
      </c>
      <c r="K60" s="55">
        <v>0</v>
      </c>
      <c r="L60" s="55">
        <v>0</v>
      </c>
      <c r="M60" s="56" t="s">
        <v>120</v>
      </c>
      <c r="N60" s="38">
        <v>225000</v>
      </c>
      <c r="O60" s="56" t="s">
        <v>120</v>
      </c>
      <c r="P60" s="57">
        <v>250000</v>
      </c>
      <c r="Q60" s="56" t="s">
        <v>120</v>
      </c>
      <c r="R60" s="57">
        <f t="shared" si="6"/>
        <v>475000</v>
      </c>
    </row>
  </sheetData>
  <mergeCells count="21">
    <mergeCell ref="A1:R1"/>
    <mergeCell ref="A2:R2"/>
    <mergeCell ref="A3:R3"/>
    <mergeCell ref="A5:A7"/>
    <mergeCell ref="C5:C7"/>
    <mergeCell ref="E5:F6"/>
    <mergeCell ref="G5:R5"/>
    <mergeCell ref="G6:H6"/>
    <mergeCell ref="I6:J6"/>
    <mergeCell ref="K6:L6"/>
    <mergeCell ref="M6:N6"/>
    <mergeCell ref="O6:P6"/>
    <mergeCell ref="Q6:R6"/>
    <mergeCell ref="B47:B48"/>
    <mergeCell ref="B53:B54"/>
    <mergeCell ref="B56:B57"/>
    <mergeCell ref="B9:B11"/>
    <mergeCell ref="B14:B17"/>
    <mergeCell ref="B18:B19"/>
    <mergeCell ref="B20:B21"/>
    <mergeCell ref="B23:B24"/>
  </mergeCells>
  <printOptions horizontalCentered="1"/>
  <pageMargins left="0.31496062992125984" right="0.31496062992125984" top="0.74803149606299213" bottom="0.74803149606299213" header="0.31496062992125984" footer="0.31496062992125984"/>
  <pageSetup paperSize="256" scale="7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Renstra</vt:lpstr>
      <vt:lpstr>Renstra!Print_Titles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2017-07-18T03:35:03Z</cp:lastPrinted>
  <dcterms:created xsi:type="dcterms:W3CDTF">2015-01-09T01:01:53Z</dcterms:created>
  <dcterms:modified xsi:type="dcterms:W3CDTF">2017-07-25T04:42:08Z</dcterms:modified>
</cp:coreProperties>
</file>